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66925"/>
  <xr:revisionPtr revIDLastSave="0" documentId="8_{93D9E955-7A20-4944-895B-218D5B939432}" xr6:coauthVersionLast="47" xr6:coauthVersionMax="47" xr10:uidLastSave="{00000000-0000-0000-0000-000000000000}"/>
  <bookViews>
    <workbookView xWindow="3720" yWindow="816" windowWidth="18348" windowHeight="11052" xr2:uid="{00000000-000D-0000-FFFF-FFFF00000000}"/>
  </bookViews>
  <sheets>
    <sheet name="Страница 0" sheetId="1" r:id="rId1"/>
  </sheets>
  <calcPr calcId="191029"/>
</workbook>
</file>

<file path=xl/calcChain.xml><?xml version="1.0" encoding="utf-8"?>
<calcChain xmlns="http://schemas.openxmlformats.org/spreadsheetml/2006/main">
  <c r="I23" i="1" l="1"/>
  <c r="I22" i="1"/>
  <c r="I21" i="1"/>
  <c r="F21" i="1"/>
  <c r="I20" i="1"/>
  <c r="F20" i="1"/>
  <c r="I19" i="1"/>
  <c r="F19" i="1"/>
  <c r="I18" i="1"/>
  <c r="F18" i="1"/>
  <c r="I17" i="1"/>
  <c r="F17" i="1"/>
  <c r="I16" i="1"/>
  <c r="F16" i="1"/>
  <c r="I15" i="1"/>
  <c r="F15" i="1"/>
  <c r="I14" i="1"/>
  <c r="F14" i="1"/>
  <c r="I13" i="1"/>
  <c r="F13" i="1"/>
  <c r="I12" i="1"/>
  <c r="F12" i="1"/>
  <c r="I11" i="1"/>
  <c r="F11" i="1"/>
  <c r="I10" i="1"/>
  <c r="F10" i="1"/>
  <c r="I9" i="1"/>
  <c r="F9" i="1"/>
  <c r="I8" i="1"/>
  <c r="F8" i="1"/>
  <c r="I24" i="1" l="1"/>
  <c r="I26" i="1"/>
</calcChain>
</file>

<file path=xl/sharedStrings.xml><?xml version="1.0" encoding="utf-8"?>
<sst xmlns="http://schemas.openxmlformats.org/spreadsheetml/2006/main" count="48" uniqueCount="33">
  <si>
    <t xml:space="preserve">Продавец: </t>
  </si>
  <si>
    <t>14.07.2026 Товарный чек № MM-2026-000028</t>
  </si>
  <si>
    <t>Адрес доставки: Варшавка</t>
  </si>
  <si>
    <t>Заказчик: Андрей, +7 (966) 092-10-92</t>
  </si>
  <si>
    <t>№</t>
  </si>
  <si>
    <t>Наименование</t>
  </si>
  <si>
    <t>Кол-во</t>
  </si>
  <si>
    <t>Ед.
изм</t>
  </si>
  <si>
    <t>Вес</t>
  </si>
  <si>
    <t>Цена</t>
  </si>
  <si>
    <t>Сумма</t>
  </si>
  <si>
    <t>Штукатурка гипсовая Knauf Ротбанд 5 кг</t>
  </si>
  <si>
    <t>шт</t>
  </si>
  <si>
    <t>Штукатурка гипсовая Knauf Ротбанд 30 кг</t>
  </si>
  <si>
    <t>Штукатурка гипсовая Knauf Гольдбанд 30 кг</t>
  </si>
  <si>
    <t>Штукатурка гипсовая Knauf МП-75 маш. 30 кг</t>
  </si>
  <si>
    <t>Штукатурка гипсовая ВОЛМА Холст Сер. 30 кг</t>
  </si>
  <si>
    <t>Штукатурка гипсовая ВОЛМА Слой Бел. 30 кг</t>
  </si>
  <si>
    <t>Штукатурка гипсовая ВОЛМА Гипс Актив мех. Сер. 30 кг</t>
  </si>
  <si>
    <t>Штукатурка гипсовая ВОЛМА Гипс Актив мех. Бел. 30 кг</t>
  </si>
  <si>
    <t>Штукатурка гипсовая Русеан Plaster Сер. 30кг</t>
  </si>
  <si>
    <t>Штукатурка гипсовая Русеан Termoplast Бел. 30кг</t>
  </si>
  <si>
    <t>Штукатурка гипсовая UNIS Теплон белая 5 кг</t>
  </si>
  <si>
    <t>Штукатурка гипсовая UNIS Теплон белая 30 кг</t>
  </si>
  <si>
    <t>Штукатурка гипсовая Старатели 30 кг</t>
  </si>
  <si>
    <t>Штукатурка гипсово-цементная Старатели Оптимум серая универсальная мех. 30 кг</t>
  </si>
  <si>
    <t>Доставка</t>
  </si>
  <si>
    <t>Разгрузка</t>
  </si>
  <si>
    <t>Итого к оплате:</t>
  </si>
  <si>
    <t>* Форма оплаты: Безнал — с НДС</t>
  </si>
  <si>
    <t>Вес товара (кг):</t>
  </si>
  <si>
    <t>Сумма к оплате: 10 762,20 рублей. Без НДС.</t>
  </si>
  <si>
    <t>ВАЖНО: Товар принимается сразу при выгрузке из машины.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</si>
</sst>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2"/>
      <color indexed="8"/>
      <name val="Arial"/>
      <charset val="1"/>
    </font>
    <font>
      <b/>
      <sz val="9"/>
      <color indexed="8"/>
      <name val="Arial"/>
      <charset val="1"/>
    </font>
    <font>
      <sz val="9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2" xfId="0" applyFont="1" applyBorder="1" applyAlignment="1">
      <alignment horizontal="center" vertical="center" wrapText="1" readingOrder="1"/>
    </xf>
    <xf numFmtId="2" fontId="3" fillId="0" borderId="2" xfId="0" applyNumberFormat="1" applyFont="1" applyBorder="1" applyAlignment="1">
      <alignment horizontal="center" vertical="center" readingOrder="1"/>
    </xf>
    <xf numFmtId="0" fontId="3" fillId="0" borderId="2" xfId="0" applyFont="1" applyBorder="1" applyAlignment="1">
      <alignment horizontal="center" vertical="center" readingOrder="1"/>
    </xf>
    <xf numFmtId="4" fontId="3" fillId="0" borderId="2" xfId="0" applyNumberFormat="1" applyFont="1" applyBorder="1" applyAlignment="1">
      <alignment horizontal="right" vertical="center" readingOrder="1"/>
    </xf>
    <xf numFmtId="4" fontId="2" fillId="0" borderId="0" xfId="0" applyNumberFormat="1" applyFont="1" applyAlignment="1">
      <alignment horizontal="right" vertical="top" wrapText="1" readingOrder="1"/>
    </xf>
    <xf numFmtId="2" fontId="2" fillId="0" borderId="0" xfId="0" applyNumberFormat="1" applyFont="1" applyAlignment="1">
      <alignment horizontal="right" vertical="top" wrapText="1" readingOrder="1"/>
    </xf>
    <xf numFmtId="164" fontId="0" fillId="0" borderId="0" xfId="0" applyNumberFormat="1"/>
    <xf numFmtId="0" fontId="1" fillId="0" borderId="0" xfId="0" applyFont="1" applyAlignment="1">
      <alignment horizontal="left" vertical="top" wrapText="1" readingOrder="1"/>
    </xf>
    <xf numFmtId="0" fontId="2" fillId="0" borderId="1" xfId="0" applyFont="1" applyBorder="1" applyAlignment="1">
      <alignment horizontal="left" vertical="top" wrapText="1" readingOrder="1"/>
    </xf>
    <xf numFmtId="0" fontId="2" fillId="0" borderId="0" xfId="0" applyFont="1" applyAlignment="1">
      <alignment horizontal="left" vertical="top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left" vertical="center" wrapText="1" indent="1" readingOrder="1"/>
    </xf>
    <xf numFmtId="164" fontId="3" fillId="0" borderId="2" xfId="0" applyNumberFormat="1" applyFont="1" applyBorder="1" applyAlignment="1">
      <alignment horizontal="right" vertical="center" readingOrder="1"/>
    </xf>
    <xf numFmtId="0" fontId="2" fillId="0" borderId="0" xfId="0" applyFont="1" applyAlignment="1">
      <alignment horizontal="right" vertical="top" wrapText="1" readingOrder="1"/>
    </xf>
    <xf numFmtId="0" fontId="3" fillId="0" borderId="0" xfId="0" applyFont="1" applyAlignment="1">
      <alignment horizontal="left" vertical="top" wrapText="1" readingOrder="1"/>
    </xf>
    <xf numFmtId="0" fontId="2" fillId="0" borderId="3" xfId="0" applyFont="1" applyBorder="1" applyAlignment="1">
      <alignment horizontal="left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zoomScaleNormal="100" workbookViewId="0">
      <selection activeCell="H2" sqref="H2"/>
    </sheetView>
  </sheetViews>
  <sheetFormatPr defaultRowHeight="14.4" x14ac:dyDescent="0.3"/>
  <cols>
    <col min="1" max="1" width="3.21875" customWidth="1"/>
    <col min="2" max="2" width="29.77734375" customWidth="1"/>
    <col min="3" max="3" width="0.44140625" customWidth="1"/>
    <col min="4" max="4" width="6.21875" customWidth="1"/>
    <col min="5" max="5" width="4.88671875" customWidth="1"/>
    <col min="6" max="6" width="6.21875" customWidth="1"/>
    <col min="7" max="7" width="2.5546875" customWidth="1"/>
    <col min="8" max="8" width="10" customWidth="1"/>
    <col min="9" max="9" width="11.21875" customWidth="1"/>
  </cols>
  <sheetData>
    <row r="1" spans="1:9" ht="15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</row>
    <row r="2" spans="1:9" ht="14.25" customHeight="1" x14ac:dyDescent="0.3">
      <c r="A2" s="9" t="s">
        <v>1</v>
      </c>
      <c r="B2" s="9"/>
      <c r="C2" s="9"/>
      <c r="D2" s="9"/>
      <c r="E2" s="9"/>
      <c r="F2" s="9"/>
    </row>
    <row r="3" spans="1:9" ht="3" customHeight="1" x14ac:dyDescent="0.3"/>
    <row r="4" spans="1:9" ht="14.25" customHeight="1" x14ac:dyDescent="0.3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pans="1:9" ht="3" customHeight="1" x14ac:dyDescent="0.3"/>
    <row r="6" spans="1:9" ht="19.5" customHeight="1" x14ac:dyDescent="0.3">
      <c r="A6" s="10" t="s">
        <v>3</v>
      </c>
      <c r="B6" s="10"/>
      <c r="C6" s="10"/>
      <c r="D6" s="10"/>
      <c r="E6" s="10"/>
      <c r="F6" s="10"/>
      <c r="G6" s="10"/>
      <c r="H6" s="10"/>
      <c r="I6" s="10"/>
    </row>
    <row r="7" spans="1:9" ht="28.5" customHeight="1" x14ac:dyDescent="0.3">
      <c r="A7" s="1" t="s">
        <v>4</v>
      </c>
      <c r="B7" s="11" t="s">
        <v>5</v>
      </c>
      <c r="C7" s="11"/>
      <c r="D7" s="1" t="s">
        <v>6</v>
      </c>
      <c r="E7" s="1" t="s">
        <v>7</v>
      </c>
      <c r="F7" s="11" t="s">
        <v>8</v>
      </c>
      <c r="G7" s="11"/>
      <c r="H7" s="1" t="s">
        <v>9</v>
      </c>
      <c r="I7" s="1" t="s">
        <v>10</v>
      </c>
    </row>
    <row r="8" spans="1:9" ht="18" customHeight="1" x14ac:dyDescent="0.3">
      <c r="A8" s="2">
        <v>1</v>
      </c>
      <c r="B8" s="12" t="s">
        <v>11</v>
      </c>
      <c r="C8" s="12"/>
      <c r="D8" s="2">
        <v>10</v>
      </c>
      <c r="E8" s="3" t="s">
        <v>12</v>
      </c>
      <c r="F8" s="13">
        <f>ROUNDUP(D8*5,3)</f>
        <v>50</v>
      </c>
      <c r="G8" s="13"/>
      <c r="H8" s="4">
        <v>231</v>
      </c>
      <c r="I8" s="4">
        <f t="shared" ref="I8:I23" si="0">ROUNDUP(H8*D8,2)</f>
        <v>2310</v>
      </c>
    </row>
    <row r="9" spans="1:9" ht="18" customHeight="1" x14ac:dyDescent="0.3">
      <c r="A9" s="2">
        <v>2</v>
      </c>
      <c r="B9" s="12" t="s">
        <v>13</v>
      </c>
      <c r="C9" s="12"/>
      <c r="D9" s="2">
        <v>8</v>
      </c>
      <c r="E9" s="3" t="s">
        <v>12</v>
      </c>
      <c r="F9" s="13">
        <f t="shared" ref="F9:F17" si="1">ROUNDUP(D9*30,3)</f>
        <v>240</v>
      </c>
      <c r="G9" s="13"/>
      <c r="H9" s="4">
        <v>510</v>
      </c>
      <c r="I9" s="4">
        <f t="shared" si="0"/>
        <v>4080</v>
      </c>
    </row>
    <row r="10" spans="1:9" ht="31.95" customHeight="1" x14ac:dyDescent="0.3">
      <c r="A10" s="2">
        <v>3</v>
      </c>
      <c r="B10" s="12" t="s">
        <v>14</v>
      </c>
      <c r="C10" s="12"/>
      <c r="D10" s="2">
        <v>3</v>
      </c>
      <c r="E10" s="3" t="s">
        <v>12</v>
      </c>
      <c r="F10" s="13">
        <f t="shared" si="1"/>
        <v>90</v>
      </c>
      <c r="G10" s="13"/>
      <c r="H10" s="4">
        <v>0</v>
      </c>
      <c r="I10" s="4">
        <f t="shared" si="0"/>
        <v>0</v>
      </c>
    </row>
    <row r="11" spans="1:9" ht="18" customHeight="1" x14ac:dyDescent="0.3">
      <c r="A11" s="3">
        <v>4</v>
      </c>
      <c r="B11" s="12" t="s">
        <v>15</v>
      </c>
      <c r="C11" s="12"/>
      <c r="D11" s="2">
        <v>4</v>
      </c>
      <c r="E11" s="3" t="s">
        <v>12</v>
      </c>
      <c r="F11" s="13">
        <f t="shared" si="1"/>
        <v>120</v>
      </c>
      <c r="G11" s="13"/>
      <c r="H11" s="4">
        <v>441</v>
      </c>
      <c r="I11" s="4">
        <f t="shared" si="0"/>
        <v>1764</v>
      </c>
    </row>
    <row r="12" spans="1:9" ht="31.95" customHeight="1" x14ac:dyDescent="0.3">
      <c r="A12" s="3">
        <v>5</v>
      </c>
      <c r="B12" s="12" t="s">
        <v>16</v>
      </c>
      <c r="C12" s="12"/>
      <c r="D12" s="2">
        <v>1</v>
      </c>
      <c r="E12" s="3" t="s">
        <v>12</v>
      </c>
      <c r="F12" s="13">
        <f t="shared" si="1"/>
        <v>30</v>
      </c>
      <c r="G12" s="13"/>
      <c r="H12" s="4">
        <v>407.4</v>
      </c>
      <c r="I12" s="4">
        <f t="shared" si="0"/>
        <v>407.4</v>
      </c>
    </row>
    <row r="13" spans="1:9" ht="18" customHeight="1" x14ac:dyDescent="0.3">
      <c r="A13" s="3">
        <v>6</v>
      </c>
      <c r="B13" s="12" t="s">
        <v>17</v>
      </c>
      <c r="C13" s="12"/>
      <c r="D13" s="2">
        <v>1</v>
      </c>
      <c r="E13" s="3" t="s">
        <v>12</v>
      </c>
      <c r="F13" s="13">
        <f t="shared" si="1"/>
        <v>30</v>
      </c>
      <c r="G13" s="13"/>
      <c r="H13" s="4">
        <v>470.4</v>
      </c>
      <c r="I13" s="4">
        <f t="shared" si="0"/>
        <v>470.4</v>
      </c>
    </row>
    <row r="14" spans="1:9" ht="31.95" customHeight="1" x14ac:dyDescent="0.3">
      <c r="A14" s="3">
        <v>7</v>
      </c>
      <c r="B14" s="12" t="s">
        <v>18</v>
      </c>
      <c r="C14" s="12"/>
      <c r="D14" s="2">
        <v>1</v>
      </c>
      <c r="E14" s="3" t="s">
        <v>12</v>
      </c>
      <c r="F14" s="13">
        <f t="shared" si="1"/>
        <v>30</v>
      </c>
      <c r="G14" s="13"/>
      <c r="H14" s="4">
        <v>399</v>
      </c>
      <c r="I14" s="4">
        <f t="shared" si="0"/>
        <v>399</v>
      </c>
    </row>
    <row r="15" spans="1:9" ht="31.95" customHeight="1" x14ac:dyDescent="0.3">
      <c r="A15" s="3">
        <v>8</v>
      </c>
      <c r="B15" s="12" t="s">
        <v>19</v>
      </c>
      <c r="C15" s="12"/>
      <c r="D15" s="2">
        <v>1</v>
      </c>
      <c r="E15" s="3" t="s">
        <v>12</v>
      </c>
      <c r="F15" s="13">
        <f t="shared" si="1"/>
        <v>30</v>
      </c>
      <c r="G15" s="13"/>
      <c r="H15" s="4">
        <v>417.9</v>
      </c>
      <c r="I15" s="4">
        <f t="shared" si="0"/>
        <v>417.9</v>
      </c>
    </row>
    <row r="16" spans="1:9" ht="31.95" customHeight="1" x14ac:dyDescent="0.3">
      <c r="A16" s="3">
        <v>9</v>
      </c>
      <c r="B16" s="12" t="s">
        <v>20</v>
      </c>
      <c r="C16" s="12"/>
      <c r="D16" s="2">
        <v>1</v>
      </c>
      <c r="E16" s="3" t="s">
        <v>12</v>
      </c>
      <c r="F16" s="13">
        <f t="shared" si="1"/>
        <v>30</v>
      </c>
      <c r="G16" s="13"/>
      <c r="H16" s="4">
        <v>0</v>
      </c>
      <c r="I16" s="4">
        <f t="shared" si="0"/>
        <v>0</v>
      </c>
    </row>
    <row r="17" spans="1:9" ht="31.95" customHeight="1" x14ac:dyDescent="0.3">
      <c r="A17" s="3">
        <v>10</v>
      </c>
      <c r="B17" s="12" t="s">
        <v>21</v>
      </c>
      <c r="C17" s="12"/>
      <c r="D17" s="2">
        <v>1</v>
      </c>
      <c r="E17" s="3" t="s">
        <v>12</v>
      </c>
      <c r="F17" s="13">
        <f t="shared" si="1"/>
        <v>30</v>
      </c>
      <c r="G17" s="13"/>
      <c r="H17" s="4">
        <v>0</v>
      </c>
      <c r="I17" s="4">
        <f t="shared" si="0"/>
        <v>0</v>
      </c>
    </row>
    <row r="18" spans="1:9" ht="31.95" customHeight="1" x14ac:dyDescent="0.3">
      <c r="A18" s="3">
        <v>11</v>
      </c>
      <c r="B18" s="12" t="s">
        <v>22</v>
      </c>
      <c r="C18" s="12"/>
      <c r="D18" s="2">
        <v>5</v>
      </c>
      <c r="E18" s="3" t="s">
        <v>12</v>
      </c>
      <c r="F18" s="13">
        <f>ROUNDUP(D18*5,3)</f>
        <v>25</v>
      </c>
      <c r="G18" s="13"/>
      <c r="H18" s="4">
        <v>0</v>
      </c>
      <c r="I18" s="4">
        <f t="shared" si="0"/>
        <v>0</v>
      </c>
    </row>
    <row r="19" spans="1:9" ht="31.95" customHeight="1" x14ac:dyDescent="0.3">
      <c r="A19" s="3">
        <v>12</v>
      </c>
      <c r="B19" s="12" t="s">
        <v>23</v>
      </c>
      <c r="C19" s="12"/>
      <c r="D19" s="2">
        <v>1</v>
      </c>
      <c r="E19" s="3" t="s">
        <v>12</v>
      </c>
      <c r="F19" s="13">
        <f>ROUNDUP(D19*30,3)</f>
        <v>30</v>
      </c>
      <c r="G19" s="13"/>
      <c r="H19" s="4">
        <v>456.75</v>
      </c>
      <c r="I19" s="4">
        <f t="shared" si="0"/>
        <v>456.75</v>
      </c>
    </row>
    <row r="20" spans="1:9" ht="18" customHeight="1" x14ac:dyDescent="0.3">
      <c r="A20" s="3">
        <v>13</v>
      </c>
      <c r="B20" s="12" t="s">
        <v>24</v>
      </c>
      <c r="C20" s="12"/>
      <c r="D20" s="2">
        <v>5</v>
      </c>
      <c r="E20" s="3" t="s">
        <v>12</v>
      </c>
      <c r="F20" s="13">
        <f>ROUNDUP(D20*30,3)</f>
        <v>150</v>
      </c>
      <c r="G20" s="13"/>
      <c r="H20" s="4">
        <v>417.9</v>
      </c>
      <c r="I20" s="4">
        <f t="shared" si="0"/>
        <v>2089.5</v>
      </c>
    </row>
    <row r="21" spans="1:9" ht="31.95" customHeight="1" x14ac:dyDescent="0.3">
      <c r="A21" s="3">
        <v>14</v>
      </c>
      <c r="B21" s="12" t="s">
        <v>25</v>
      </c>
      <c r="C21" s="12"/>
      <c r="D21" s="2">
        <v>1</v>
      </c>
      <c r="E21" s="3" t="s">
        <v>12</v>
      </c>
      <c r="F21" s="13">
        <f>ROUNDUP(D21*30,3)</f>
        <v>30</v>
      </c>
      <c r="G21" s="13"/>
      <c r="H21" s="4">
        <v>446.25</v>
      </c>
      <c r="I21" s="4">
        <f t="shared" si="0"/>
        <v>446.25</v>
      </c>
    </row>
    <row r="22" spans="1:9" ht="18" customHeight="1" x14ac:dyDescent="0.3">
      <c r="A22" s="3">
        <v>15</v>
      </c>
      <c r="B22" s="12" t="s">
        <v>26</v>
      </c>
      <c r="C22" s="12"/>
      <c r="D22" s="2">
        <v>1</v>
      </c>
      <c r="E22" s="3" t="s">
        <v>12</v>
      </c>
      <c r="F22" s="13">
        <v>0</v>
      </c>
      <c r="G22" s="13"/>
      <c r="H22" s="4">
        <v>0</v>
      </c>
      <c r="I22" s="4">
        <f t="shared" si="0"/>
        <v>0</v>
      </c>
    </row>
    <row r="23" spans="1:9" ht="18" customHeight="1" x14ac:dyDescent="0.3">
      <c r="A23" s="3">
        <v>16</v>
      </c>
      <c r="B23" s="12" t="s">
        <v>27</v>
      </c>
      <c r="C23" s="12"/>
      <c r="D23" s="2">
        <v>1</v>
      </c>
      <c r="E23" s="3" t="s">
        <v>12</v>
      </c>
      <c r="F23" s="13">
        <v>0</v>
      </c>
      <c r="G23" s="13"/>
      <c r="H23" s="4">
        <v>0</v>
      </c>
      <c r="I23" s="4">
        <f t="shared" si="0"/>
        <v>0</v>
      </c>
    </row>
    <row r="24" spans="1:9" ht="14.25" customHeight="1" x14ac:dyDescent="0.3">
      <c r="A24" s="14" t="s">
        <v>28</v>
      </c>
      <c r="B24" s="14"/>
      <c r="C24" s="14"/>
      <c r="D24" s="14"/>
      <c r="E24" s="14"/>
      <c r="F24" s="14"/>
      <c r="G24" s="14"/>
      <c r="H24" s="14"/>
      <c r="I24" s="5">
        <f>ROUNDUP(SUM(I8:I23),2)</f>
        <v>12841.2</v>
      </c>
    </row>
    <row r="25" spans="1:9" ht="3" customHeight="1" x14ac:dyDescent="0.3">
      <c r="I25" s="6"/>
    </row>
    <row r="26" spans="1:9" ht="14.25" customHeight="1" x14ac:dyDescent="0.3">
      <c r="A26" s="10" t="s">
        <v>29</v>
      </c>
      <c r="B26" s="10"/>
      <c r="C26" s="10"/>
      <c r="D26" s="14" t="s">
        <v>30</v>
      </c>
      <c r="E26" s="14"/>
      <c r="F26" s="14"/>
      <c r="G26" s="14"/>
      <c r="H26" s="14"/>
      <c r="I26" s="7">
        <f>ROUNDUP(SUM(F8:F23),3)</f>
        <v>915</v>
      </c>
    </row>
    <row r="27" spans="1:9" ht="25.5" customHeight="1" x14ac:dyDescent="0.3"/>
    <row r="28" spans="1:9" ht="14.25" customHeight="1" x14ac:dyDescent="0.3">
      <c r="A28" s="15" t="s">
        <v>31</v>
      </c>
      <c r="B28" s="15"/>
      <c r="C28" s="15"/>
      <c r="D28" s="15"/>
      <c r="E28" s="15"/>
      <c r="F28" s="15"/>
      <c r="G28" s="15"/>
      <c r="H28" s="15"/>
      <c r="I28" s="15"/>
    </row>
    <row r="29" spans="1:9" ht="8.25" customHeight="1" x14ac:dyDescent="0.3"/>
    <row r="30" spans="1:9" ht="17.25" customHeight="1" x14ac:dyDescent="0.3">
      <c r="A30" s="16" t="s">
        <v>32</v>
      </c>
      <c r="B30" s="16"/>
      <c r="C30" s="16"/>
      <c r="D30" s="16"/>
      <c r="E30" s="16"/>
      <c r="F30" s="16"/>
    </row>
  </sheetData>
  <mergeCells count="43">
    <mergeCell ref="A28:I28"/>
    <mergeCell ref="A30:F30"/>
    <mergeCell ref="B23:C23"/>
    <mergeCell ref="F23:G23"/>
    <mergeCell ref="A24:H24"/>
    <mergeCell ref="A26:C26"/>
    <mergeCell ref="D26:H26"/>
    <mergeCell ref="B20:C20"/>
    <mergeCell ref="F20:G20"/>
    <mergeCell ref="B21:C21"/>
    <mergeCell ref="F21:G21"/>
    <mergeCell ref="B22:C22"/>
    <mergeCell ref="F22:G22"/>
    <mergeCell ref="B17:C17"/>
    <mergeCell ref="F17:G17"/>
    <mergeCell ref="B18:C18"/>
    <mergeCell ref="F18:G18"/>
    <mergeCell ref="B19:C19"/>
    <mergeCell ref="F19:G19"/>
    <mergeCell ref="B14:C14"/>
    <mergeCell ref="F14:G14"/>
    <mergeCell ref="B15:C15"/>
    <mergeCell ref="F15:G15"/>
    <mergeCell ref="B16:C16"/>
    <mergeCell ref="F16:G16"/>
    <mergeCell ref="B11:C11"/>
    <mergeCell ref="F11:G11"/>
    <mergeCell ref="B12:C12"/>
    <mergeCell ref="F12:G12"/>
    <mergeCell ref="B13:C13"/>
    <mergeCell ref="F13:G13"/>
    <mergeCell ref="B8:C8"/>
    <mergeCell ref="F8:G8"/>
    <mergeCell ref="B9:C9"/>
    <mergeCell ref="F9:G9"/>
    <mergeCell ref="B10:C10"/>
    <mergeCell ref="F10:G10"/>
    <mergeCell ref="A1:I1"/>
    <mergeCell ref="A2:F2"/>
    <mergeCell ref="A4:I4"/>
    <mergeCell ref="A6:I6"/>
    <mergeCell ref="B7:C7"/>
    <mergeCell ref="F7:G7"/>
  </mergeCells>
  <pageMargins left="0.78740157480314965" right="0.39370078740157483" top="0.39370078740157483" bottom="0.39370078740157483" header="0" footer="0"/>
  <pageSetup paperSize="9" firstPageNumber="0" orientation="portrait" errors="blank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Страница 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2026-06-17T17:29:12Z</dcterms:created>
  <dcterms:modified xsi:type="dcterms:W3CDTF">2026-07-14T12:29:11Z</dcterms:modified>
</cp:coreProperties>
</file>