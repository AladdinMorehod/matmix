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720" yWindow="816" windowWidth="16416" windowHeight="11052"/>
  </bookViews>
  <sheets>
    <sheet sheetId="1" name="Страница 0" state="visible" r:id="rId4"/>
  </sheets>
  <calcPr calcId="171027" fullCalcOnLoad="1"/>
</workbook>
</file>

<file path=xl/sharedStrings.xml><?xml version="1.0" encoding="utf-8"?>
<sst xmlns="http://schemas.openxmlformats.org/spreadsheetml/2006/main" count="48" uniqueCount="33">
  <si>
    <t xml:space="preserve">Продавец: </t>
  </si>
  <si>
    <t>14.07.2026 Товарный чек № MM-2026-000028</t>
  </si>
  <si>
    <t>Адрес доставки: Варшавка</t>
  </si>
  <si>
    <t>Заказчик: Андрей, +7 (966) 092-10-92</t>
  </si>
  <si>
    <t>№</t>
  </si>
  <si>
    <t>Наименование</t>
  </si>
  <si>
    <t>Кол-во</t>
  </si>
  <si>
    <t xml:space="preserve">Ед.
изм</t>
  </si>
  <si>
    <t>Вес</t>
  </si>
  <si>
    <t>Цена</t>
  </si>
  <si>
    <t>Сумма</t>
  </si>
  <si>
    <t>Штукатурка гипсовая Knauf Ротбанд 5 кг</t>
  </si>
  <si>
    <t>шт</t>
  </si>
  <si>
    <t>Штукатурка гипсовая Knauf Ротбанд 30 кг</t>
  </si>
  <si>
    <t>Штукатурка гипсовая Knauf Гольдбанд 30 кг</t>
  </si>
  <si>
    <t>Штукатурка гипсовая Knauf МП-75 маш. 30 кг</t>
  </si>
  <si>
    <t>Штукатурка гипсовая ВОЛМА Холст Сер. 30 кг</t>
  </si>
  <si>
    <t>Штукатурка гипсовая ВОЛМА Слой Бел. 30 кг</t>
  </si>
  <si>
    <t>Штукатурка гипсовая ВОЛМА Гипс Актив мех. Сер. 30 кг</t>
  </si>
  <si>
    <t>Штукатурка гипсовая ВОЛМА Гипс Актив мех. Бел. 30 кг</t>
  </si>
  <si>
    <t>Штукатурка гипсовая Русеан Plaster Сер. 30кг</t>
  </si>
  <si>
    <t>Штукатурка гипсовая Русеан Termoplast Бел. 30кг</t>
  </si>
  <si>
    <t>Штукатурка гипсовая UNIS Теплон белая 5 кг</t>
  </si>
  <si>
    <t>Штукатурка гипсовая UNIS Теплон белая 30 кг</t>
  </si>
  <si>
    <t>Штукатурка гипсовая Старатели 30 кг</t>
  </si>
  <si>
    <t>Штукатурка гипсово-цементная Старатели Оптимум серая универсальная мех. 30 кг</t>
  </si>
  <si>
    <t>Доставка</t>
  </si>
  <si>
    <t>Разгрузка</t>
  </si>
  <si>
    <t>Итого к оплате:</t>
  </si>
  <si>
    <t>* Форма оплаты: Безнал — с НДС</t>
  </si>
  <si>
    <t>Вес товара (кг):</t>
  </si>
  <si>
    <t>Сумма к оплате: 10 762,20 рублей. Без НДС.</t>
  </si>
  <si>
    <t>ВАЖНО: Товар принимается сразу при выгрузке из машины.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</si>
</sst>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color theme="1"/>
      <family val="2"/>
      <scheme val="minor"/>
      <sz val="11"/>
      <name val="Calibri"/>
    </font>
    <font>
      <b/>
      <charset val="1"/>
      <color indexed="8"/>
      <sz val="12"/>
      <name val="Arial"/>
    </font>
    <font>
      <b/>
      <charset val="1"/>
      <color indexed="8"/>
      <sz val="9"/>
      <name val="Arial"/>
    </font>
    <font>
      <charset val="1"/>
      <color indexed="8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2" xfId="0" applyFont="1" applyBorder="1" applyAlignment="1">
      <alignment horizontal="center" vertical="center" wrapText="1" readingOrder="1"/>
    </xf>
    <xf numFmtId="1" fontId="3" fillId="0" borderId="2" xfId="0" applyNumberFormat="1" applyFont="1" applyBorder="1" applyAlignment="1">
      <alignment horizontal="right" vertical="center" readingOrder="1"/>
    </xf>
    <xf numFmtId="0" fontId="3" fillId="0" borderId="2" xfId="0" applyFont="1" applyBorder="1" applyAlignment="1">
      <alignment horizontal="left" vertical="top" wrapText="1" readingOrder="1"/>
    </xf>
    <xf numFmtId="2" fontId="3" fillId="0" borderId="2" xfId="0" applyNumberFormat="1" applyFont="1" applyBorder="1" applyAlignment="1">
      <alignment horizontal="right" vertical="center" readingOrder="1"/>
    </xf>
    <xf numFmtId="0" fontId="3" fillId="0" borderId="2" xfId="0" applyFont="1" applyBorder="1" applyAlignment="1">
      <alignment horizontal="left" vertical="center" readingOrder="1"/>
    </xf>
    <xf numFmtId="164" fontId="3" fillId="0" borderId="2" xfId="0" applyNumberFormat="1" applyFont="1" applyBorder="1" applyAlignment="1">
      <alignment horizontal="right" vertical="center" readingOrder="1"/>
    </xf>
    <xf numFmtId="4" fontId="3" fillId="0" borderId="2" xfId="0" applyNumberFormat="1" applyFont="1" applyBorder="1" applyAlignment="1">
      <alignment horizontal="right" vertical="center" readingOrder="1"/>
    </xf>
    <xf numFmtId="0" fontId="2" fillId="0" borderId="0" xfId="0" applyFont="1" applyAlignment="1">
      <alignment horizontal="right" vertical="top" wrapText="1" readingOrder="1"/>
    </xf>
    <xf numFmtId="4" fontId="2" fillId="0" borderId="0" xfId="0" applyNumberFormat="1" applyFont="1" applyAlignment="1">
      <alignment horizontal="right" vertical="top" wrapText="1" readingOrder="1"/>
    </xf>
    <xf numFmtId="2" fontId="2" fillId="0" borderId="0" xfId="0" applyNumberFormat="1" applyFont="1" applyAlignment="1">
      <alignment horizontal="right" vertical="top" wrapText="1" readingOrder="1"/>
    </xf>
    <xf numFmtId="164" fontId="0" fillId="0" borderId="0" xfId="0" applyNumberFormat="1"/>
    <xf numFmtId="0" fontId="3" fillId="0" borderId="0" xfId="0" applyFont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 zoomScale="100" zoomScaleNormal="100">
      <selection activeCell="H2" sqref="H2"/>
    </sheetView>
  </sheetViews>
  <sheetFormatPr defaultRowHeight="15" outlineLevelRow="0" outlineLevelCol="0" x14ac:dyDescent="0.25"/>
  <cols>
    <col min="1" max="1" width="3.26953125" customWidth="1"/>
    <col min="2" max="2" width="29.81640625" customWidth="1"/>
    <col min="3" max="3" width="0.453125" customWidth="1"/>
    <col min="4" max="4" width="6.26953125" customWidth="1"/>
    <col min="5" max="5" width="4.90625" customWidth="1"/>
    <col min="6" max="6" width="6.26953125" customWidth="1"/>
    <col min="7" max="7" width="2.54296875" customWidth="1"/>
    <col min="8" max="8" width="10" customWidth="1"/>
    <col min="9" max="9" width="11.1796875" customWidth="1"/>
  </cols>
  <sheetData>
    <row r="1" ht="1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4.25" customHeight="1" spans="1:6" x14ac:dyDescent="0.25">
      <c r="A2" s="2" t="s">
        <v>1</v>
      </c>
      <c r="B2" s="2"/>
      <c r="C2" s="2"/>
      <c r="D2" s="2"/>
      <c r="E2" s="2"/>
      <c r="F2" s="2"/>
    </row>
    <row r="3" ht="3" customHeight="1" x14ac:dyDescent="0.25"/>
    <row r="4" ht="14.25" customHeight="1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ht="3" customHeight="1" x14ac:dyDescent="0.25"/>
    <row r="6" ht="19.5" customHeight="1" spans="1:9" x14ac:dyDescent="0.25">
      <c r="A6" s="3" t="s">
        <v>3</v>
      </c>
      <c r="B6" s="3"/>
      <c r="C6" s="3"/>
      <c r="D6" s="3"/>
      <c r="E6" s="3"/>
      <c r="F6" s="3"/>
      <c r="G6" s="3"/>
      <c r="H6" s="3"/>
      <c r="I6" s="3"/>
    </row>
    <row r="7" ht="28.5" customHeight="1" spans="1:9" x14ac:dyDescent="0.25">
      <c r="A7" s="4" t="s">
        <v>4</v>
      </c>
      <c r="B7" s="4" t="s">
        <v>5</v>
      </c>
      <c r="C7" s="4"/>
      <c r="D7" s="4" t="s">
        <v>6</v>
      </c>
      <c r="E7" s="4" t="s">
        <v>7</v>
      </c>
      <c r="F7" s="4" t="s">
        <v>8</v>
      </c>
      <c r="G7" s="4"/>
      <c r="H7" s="4" t="s">
        <v>9</v>
      </c>
      <c r="I7" s="4" t="s">
        <v>10</v>
      </c>
    </row>
    <row r="8" ht="30" customHeight="1" spans="1:9" x14ac:dyDescent="0.25">
      <c r="A8" s="5">
        <v>1</v>
      </c>
      <c r="B8" s="6" t="s">
        <v>11</v>
      </c>
      <c r="C8" s="6"/>
      <c r="D8" s="7">
        <v>1</v>
      </c>
      <c r="E8" s="8" t="s">
        <v>12</v>
      </c>
      <c r="F8" s="9">
        <f>ROUNDUP(D8*5,3)</f>
        <v>5</v>
      </c>
      <c r="G8" s="7"/>
      <c r="H8" s="10">
        <v>231</v>
      </c>
      <c r="I8" s="10">
        <f>ROUNDUP(H8*D8,2)</f>
        <v>231</v>
      </c>
    </row>
    <row r="9" ht="30" customHeight="1" spans="1:9" x14ac:dyDescent="0.25">
      <c r="A9" s="5">
        <v>2</v>
      </c>
      <c r="B9" s="6" t="s">
        <v>13</v>
      </c>
      <c r="C9" s="6"/>
      <c r="D9" s="7">
        <v>8</v>
      </c>
      <c r="E9" s="8" t="s">
        <v>12</v>
      </c>
      <c r="F9" s="9">
        <f>ROUNDUP(D9*30,3)</f>
        <v>240</v>
      </c>
      <c r="G9" s="7"/>
      <c r="H9" s="10">
        <v>510</v>
      </c>
      <c r="I9" s="10">
        <f>ROUNDUP(H9*D9,2)</f>
        <v>4080</v>
      </c>
    </row>
    <row r="10" ht="30" customHeight="1" spans="1:9" x14ac:dyDescent="0.25">
      <c r="A10" s="5">
        <v>3</v>
      </c>
      <c r="B10" s="6" t="s">
        <v>14</v>
      </c>
      <c r="C10" s="6"/>
      <c r="D10" s="7">
        <v>3</v>
      </c>
      <c r="E10" s="8" t="s">
        <v>12</v>
      </c>
      <c r="F10" s="9">
        <f>ROUNDUP(D10*30,3)</f>
        <v>90</v>
      </c>
      <c r="G10" s="7"/>
      <c r="H10" s="10">
        <v>0</v>
      </c>
      <c r="I10" s="10">
        <f>ROUNDUP(H10*D10,2)</f>
        <v>0</v>
      </c>
    </row>
    <row r="11" ht="30" customHeight="1" spans="1:9" x14ac:dyDescent="0.25">
      <c r="A11" s="5">
        <v>4</v>
      </c>
      <c r="B11" s="6" t="s">
        <v>15</v>
      </c>
      <c r="C11" s="6"/>
      <c r="D11" s="7">
        <v>4</v>
      </c>
      <c r="E11" s="8" t="s">
        <v>12</v>
      </c>
      <c r="F11" s="9">
        <f>ROUNDUP(D11*30,3)</f>
        <v>120</v>
      </c>
      <c r="G11" s="7"/>
      <c r="H11" s="10">
        <v>441</v>
      </c>
      <c r="I11" s="10">
        <f>ROUNDUP(H11*D11,2)</f>
        <v>1764</v>
      </c>
    </row>
    <row r="12" ht="30" customHeight="1" spans="1:9" x14ac:dyDescent="0.25">
      <c r="A12" s="5">
        <v>5</v>
      </c>
      <c r="B12" s="6" t="s">
        <v>16</v>
      </c>
      <c r="C12" s="6"/>
      <c r="D12" s="7">
        <v>1</v>
      </c>
      <c r="E12" s="8" t="s">
        <v>12</v>
      </c>
      <c r="F12" s="9">
        <f>ROUNDUP(D12*30,3)</f>
        <v>30</v>
      </c>
      <c r="G12" s="7"/>
      <c r="H12" s="10">
        <v>407.4</v>
      </c>
      <c r="I12" s="10">
        <f>ROUNDUP(H12*D12,2)</f>
        <v>407.4</v>
      </c>
    </row>
    <row r="13" ht="30" customHeight="1" spans="1:9" x14ac:dyDescent="0.25">
      <c r="A13" s="5">
        <v>6</v>
      </c>
      <c r="B13" s="6" t="s">
        <v>17</v>
      </c>
      <c r="C13" s="6"/>
      <c r="D13" s="7">
        <v>1</v>
      </c>
      <c r="E13" s="8" t="s">
        <v>12</v>
      </c>
      <c r="F13" s="9">
        <f>ROUNDUP(D13*30,3)</f>
        <v>30</v>
      </c>
      <c r="G13" s="7"/>
      <c r="H13" s="10">
        <v>470.4</v>
      </c>
      <c r="I13" s="10">
        <f>ROUNDUP(H13*D13,2)</f>
        <v>470.4</v>
      </c>
    </row>
    <row r="14" ht="30" customHeight="1" spans="1:9" x14ac:dyDescent="0.25">
      <c r="A14" s="5">
        <v>7</v>
      </c>
      <c r="B14" s="6" t="s">
        <v>18</v>
      </c>
      <c r="C14" s="6"/>
      <c r="D14" s="7">
        <v>1</v>
      </c>
      <c r="E14" s="8" t="s">
        <v>12</v>
      </c>
      <c r="F14" s="9">
        <f>ROUNDUP(D14*30,3)</f>
        <v>30</v>
      </c>
      <c r="G14" s="7"/>
      <c r="H14" s="10">
        <v>399</v>
      </c>
      <c r="I14" s="10">
        <f>ROUNDUP(H14*D14,2)</f>
        <v>399</v>
      </c>
    </row>
    <row r="15" ht="30" customHeight="1" spans="1:9" x14ac:dyDescent="0.25">
      <c r="A15" s="5">
        <v>8</v>
      </c>
      <c r="B15" s="6" t="s">
        <v>19</v>
      </c>
      <c r="C15" s="6"/>
      <c r="D15" s="7">
        <v>1</v>
      </c>
      <c r="E15" s="8" t="s">
        <v>12</v>
      </c>
      <c r="F15" s="9">
        <f>ROUNDUP(D15*30,3)</f>
        <v>30</v>
      </c>
      <c r="G15" s="7"/>
      <c r="H15" s="10">
        <v>417.9</v>
      </c>
      <c r="I15" s="10">
        <f>ROUNDUP(H15*D15,2)</f>
        <v>417.9</v>
      </c>
    </row>
    <row r="16" ht="30" customHeight="1" spans="1:9" x14ac:dyDescent="0.25">
      <c r="A16" s="5">
        <v>9</v>
      </c>
      <c r="B16" s="6" t="s">
        <v>20</v>
      </c>
      <c r="C16" s="6"/>
      <c r="D16" s="7">
        <v>1</v>
      </c>
      <c r="E16" s="8" t="s">
        <v>12</v>
      </c>
      <c r="F16" s="9">
        <f>ROUNDUP(D16*30,3)</f>
        <v>30</v>
      </c>
      <c r="G16" s="7"/>
      <c r="H16" s="10">
        <v>0</v>
      </c>
      <c r="I16" s="10">
        <f>ROUNDUP(H16*D16,2)</f>
        <v>0</v>
      </c>
    </row>
    <row r="17" ht="30" customHeight="1" spans="1:9" x14ac:dyDescent="0.25">
      <c r="A17" s="5">
        <v>10</v>
      </c>
      <c r="B17" s="6" t="s">
        <v>21</v>
      </c>
      <c r="C17" s="6"/>
      <c r="D17" s="7">
        <v>1</v>
      </c>
      <c r="E17" s="8" t="s">
        <v>12</v>
      </c>
      <c r="F17" s="9">
        <f>ROUNDUP(D17*30,3)</f>
        <v>30</v>
      </c>
      <c r="G17" s="7"/>
      <c r="H17" s="10">
        <v>0</v>
      </c>
      <c r="I17" s="10">
        <f>ROUNDUP(H17*D17,2)</f>
        <v>0</v>
      </c>
    </row>
    <row r="18" ht="30" customHeight="1" spans="1:9" x14ac:dyDescent="0.25">
      <c r="A18" s="5">
        <v>11</v>
      </c>
      <c r="B18" s="6" t="s">
        <v>22</v>
      </c>
      <c r="C18" s="6"/>
      <c r="D18" s="7">
        <v>5</v>
      </c>
      <c r="E18" s="8" t="s">
        <v>12</v>
      </c>
      <c r="F18" s="9">
        <f>ROUNDUP(D18*5,3)</f>
        <v>25</v>
      </c>
      <c r="G18" s="7"/>
      <c r="H18" s="10">
        <v>0</v>
      </c>
      <c r="I18" s="10">
        <f>ROUNDUP(H18*D18,2)</f>
        <v>0</v>
      </c>
    </row>
    <row r="19" ht="30" customHeight="1" spans="1:9" x14ac:dyDescent="0.25">
      <c r="A19" s="5">
        <v>12</v>
      </c>
      <c r="B19" s="6" t="s">
        <v>23</v>
      </c>
      <c r="C19" s="6"/>
      <c r="D19" s="7">
        <v>1</v>
      </c>
      <c r="E19" s="8" t="s">
        <v>12</v>
      </c>
      <c r="F19" s="9">
        <f>ROUNDUP(D19*30,3)</f>
        <v>30</v>
      </c>
      <c r="G19" s="7"/>
      <c r="H19" s="10">
        <v>456.75</v>
      </c>
      <c r="I19" s="10">
        <f>ROUNDUP(H19*D19,2)</f>
        <v>456.75</v>
      </c>
    </row>
    <row r="20" ht="18" customHeight="1" spans="1:9" x14ac:dyDescent="0.25">
      <c r="A20" s="5">
        <v>13</v>
      </c>
      <c r="B20" s="6" t="s">
        <v>24</v>
      </c>
      <c r="C20" s="6"/>
      <c r="D20" s="7">
        <v>5</v>
      </c>
      <c r="E20" s="8" t="s">
        <v>12</v>
      </c>
      <c r="F20" s="9">
        <f>ROUNDUP(D20*30,3)</f>
        <v>150</v>
      </c>
      <c r="G20" s="7"/>
      <c r="H20" s="10">
        <v>417.9</v>
      </c>
      <c r="I20" s="10">
        <f>ROUNDUP(H20*D20,2)</f>
        <v>2089.5</v>
      </c>
    </row>
    <row r="21" ht="42" customHeight="1" spans="1:9" x14ac:dyDescent="0.25">
      <c r="A21" s="5">
        <v>14</v>
      </c>
      <c r="B21" s="6" t="s">
        <v>25</v>
      </c>
      <c r="C21" s="6"/>
      <c r="D21" s="7">
        <v>1</v>
      </c>
      <c r="E21" s="8" t="s">
        <v>12</v>
      </c>
      <c r="F21" s="9">
        <f>ROUNDUP(D21*30,3)</f>
        <v>30</v>
      </c>
      <c r="G21" s="7"/>
      <c r="H21" s="10">
        <v>446.25</v>
      </c>
      <c r="I21" s="10">
        <f>ROUNDUP(H21*D21,2)</f>
        <v>446.25</v>
      </c>
    </row>
    <row r="22" ht="18" customHeight="1" spans="1:9" x14ac:dyDescent="0.25">
      <c r="A22" s="5">
        <v>15</v>
      </c>
      <c r="B22" s="6" t="s">
        <v>26</v>
      </c>
      <c r="C22" s="6"/>
      <c r="D22" s="7">
        <v>1</v>
      </c>
      <c r="E22" s="8" t="s">
        <v>12</v>
      </c>
      <c r="F22" s="9">
        <v>0</v>
      </c>
      <c r="G22" s="7"/>
      <c r="H22" s="10">
        <v>0</v>
      </c>
      <c r="I22" s="10">
        <f>ROUNDUP(H22*D22,2)</f>
        <v>0</v>
      </c>
    </row>
    <row r="23" ht="18" customHeight="1" spans="1:9" x14ac:dyDescent="0.25">
      <c r="A23" s="5">
        <v>16</v>
      </c>
      <c r="B23" s="6" t="s">
        <v>27</v>
      </c>
      <c r="C23" s="6"/>
      <c r="D23" s="7">
        <v>1</v>
      </c>
      <c r="E23" s="8" t="s">
        <v>12</v>
      </c>
      <c r="F23" s="9">
        <v>0</v>
      </c>
      <c r="G23" s="7"/>
      <c r="H23" s="10">
        <v>0</v>
      </c>
      <c r="I23" s="10">
        <f>ROUNDUP(H23*D23,2)</f>
        <v>0</v>
      </c>
    </row>
    <row r="24" ht="14.25" customHeight="1" spans="1:9" x14ac:dyDescent="0.25">
      <c r="A24" s="11" t="s">
        <v>28</v>
      </c>
      <c r="B24" s="11"/>
      <c r="C24" s="11"/>
      <c r="D24" s="11"/>
      <c r="E24" s="11"/>
      <c r="F24" s="11"/>
      <c r="G24" s="11"/>
      <c r="H24" s="11"/>
      <c r="I24" s="12">
        <f>ROUNDUP(SUM(I8:I23),2)</f>
        <v>10762.2</v>
      </c>
    </row>
    <row r="25" ht="3" customHeight="1" spans="1:9" x14ac:dyDescent="0.25">
      <c r="I25" s="13"/>
    </row>
    <row r="26" ht="14.25" customHeight="1" spans="1:9" x14ac:dyDescent="0.25">
      <c r="A26" s="3" t="s">
        <v>29</v>
      </c>
      <c r="B26" s="3"/>
      <c r="C26" s="3"/>
      <c r="D26" s="11" t="s">
        <v>30</v>
      </c>
      <c r="E26" s="11"/>
      <c r="F26" s="11"/>
      <c r="G26" s="11"/>
      <c r="H26" s="11"/>
      <c r="I26" s="14">
        <f>ROUNDUP(SUM(F8:F23),3)</f>
        <v>870</v>
      </c>
    </row>
    <row r="27" ht="25.5" customHeight="1" x14ac:dyDescent="0.25"/>
    <row r="28" ht="14.25" customHeight="1" spans="1:9" x14ac:dyDescent="0.25">
      <c r="A28" s="15" t="s">
        <v>31</v>
      </c>
      <c r="B28" s="15"/>
      <c r="C28" s="15"/>
      <c r="D28" s="15"/>
      <c r="E28" s="15"/>
      <c r="F28" s="15"/>
      <c r="G28" s="15"/>
      <c r="H28" s="15"/>
      <c r="I28" s="15"/>
    </row>
    <row r="29" ht="8.25" customHeight="1" x14ac:dyDescent="0.25"/>
    <row r="30" ht="17.25" customHeight="1" spans="1:6" x14ac:dyDescent="0.25">
      <c r="A30" s="16" t="s">
        <v>32</v>
      </c>
      <c r="B30" s="16"/>
      <c r="C30" s="16"/>
      <c r="D30" s="16"/>
      <c r="E30" s="16"/>
      <c r="F30" s="16"/>
    </row>
  </sheetData>
  <mergeCells count="43">
    <mergeCell ref="A1:I1"/>
    <mergeCell ref="A2:F2"/>
    <mergeCell ref="A4:I4"/>
    <mergeCell ref="A6:I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A24:H24"/>
    <mergeCell ref="A26:C26"/>
    <mergeCell ref="D26:H26"/>
    <mergeCell ref="A28:I28"/>
    <mergeCell ref="A30:F30"/>
  </mergeCells>
  <pageMargins left="0.7874015748031497" right="0.3937007874015748" top="0.3937007874015748" bottom="0.3937007874015748" header="0" footer="0"/>
  <pageSetup paperSize="9" orientation="portrait" horizontalDpi="300" verticalDpi="300" errors="blank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Страница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AID</dc:creator>
  <cp:lastModifiedBy>Mr AID</cp:lastModifiedBy>
  <dcterms:created xsi:type="dcterms:W3CDTF">2026-06-17T17:29:12Z</dcterms:created>
  <dcterms:modified xsi:type="dcterms:W3CDTF">2026-07-14T10:07:59Z</dcterms:modified>
</cp:coreProperties>
</file>